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24892" windowHeight="15634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$-1009]d/mmm/yy;@"/>
    <numFmt numFmtId="165" formatCode="&quot;$&quot;#,##0.00"/>
  </numFmts>
  <fonts count="20"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Calibri"/>
      <family val="2"/>
      <color theme="10"/>
      <sz val="11"/>
      <u val="single"/>
      <scheme val="minor"/>
    </font>
    <font>
      <name val="Times New Roman"/>
      <family val="1"/>
      <b val="1"/>
      <color theme="1"/>
      <sz val="11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0"/>
      <scheme val="minor"/>
    </font>
    <font>
      <name val="Times New Roman"/>
      <family val="1"/>
      <b val="1"/>
      <sz val="11"/>
    </font>
    <font>
      <name val="Calibri"/>
      <family val="2"/>
      <i val="1"/>
      <color theme="1"/>
      <sz val="9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24"/>
      <scheme val="minor"/>
    </font>
    <font>
      <name val="Calibri (Body)"/>
      <b val="1"/>
      <color theme="1"/>
      <sz val="26"/>
    </font>
    <font>
      <name val="Calibri"/>
      <family val="2"/>
      <b val="1"/>
      <color theme="1"/>
      <sz val="9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theme="1"/>
      <sz val="10"/>
      <u val="single"/>
      <scheme val="minor"/>
    </font>
    <font>
      <name val="Calibri"/>
      <family val="2"/>
      <b val="1"/>
      <color rgb="FF222222"/>
      <sz val="10"/>
      <scheme val="minor"/>
    </font>
    <font>
      <name val="Calibri"/>
      <family val="2"/>
      <b val="1"/>
      <sz val="11"/>
      <scheme val="minor"/>
    </font>
    <font>
      <name val="Calibri"/>
      <family val="2"/>
      <i val="1"/>
      <color theme="1"/>
      <sz val="10"/>
      <scheme val="minor"/>
    </font>
    <font>
      <name val="Calibri"/>
      <family val="2"/>
      <color theme="1"/>
      <sz val="9"/>
      <scheme val="minor"/>
    </font>
    <font>
      <name val="Calibri"/>
      <family val="2"/>
      <color theme="10"/>
      <sz val="9"/>
      <u val="single"/>
      <scheme val="minor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00B050"/>
      </bottom>
      <diagonal/>
    </border>
    <border>
      <left/>
      <right/>
      <top style="medium">
        <color rgb="FF00B050"/>
      </top>
      <bottom/>
      <diagonal/>
    </border>
    <border>
      <left/>
      <right/>
      <top style="medium">
        <color rgb="FF00B050"/>
      </top>
      <bottom style="medium">
        <color rgb="FF00B05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B050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0" fontId="2" fillId="0" borderId="0"/>
    <xf numFmtId="9" fontId="8" fillId="0" borderId="0"/>
  </cellStyleXfs>
  <cellXfs count="86">
    <xf numFmtId="0" fontId="0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left" vertical="center" indent="1"/>
    </xf>
    <xf numFmtId="0" fontId="0" fillId="0" borderId="3" pivotButton="0" quotePrefix="0" xfId="0"/>
    <xf numFmtId="0" fontId="7" fillId="0" borderId="0" pivotButton="0" quotePrefix="0" xfId="0"/>
    <xf numFmtId="0" fontId="10" fillId="0" borderId="0" applyAlignment="1" pivotButton="0" quotePrefix="0" xfId="0">
      <alignment horizontal="left" vertical="center"/>
    </xf>
    <xf numFmtId="0" fontId="10" fillId="0" borderId="3" applyAlignment="1" pivotButton="0" quotePrefix="0" xfId="0">
      <alignment horizontal="left" vertical="center"/>
    </xf>
    <xf numFmtId="0" fontId="4" fillId="0" borderId="0" applyAlignment="1" pivotButton="0" quotePrefix="0" xfId="0">
      <alignment horizontal="left"/>
    </xf>
    <xf numFmtId="0" fontId="4" fillId="0" borderId="0" applyAlignment="1" pivotButton="0" quotePrefix="0" xfId="0">
      <alignment wrapText="1"/>
    </xf>
    <xf numFmtId="0" fontId="9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 indent="1"/>
    </xf>
    <xf numFmtId="0" fontId="12" fillId="0" borderId="4" applyAlignment="1" pivotButton="0" quotePrefix="0" xfId="0">
      <alignment horizontal="center" vertical="center"/>
    </xf>
    <xf numFmtId="0" fontId="12" fillId="0" borderId="4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4" pivotButton="0" quotePrefix="0" xfId="0"/>
    <xf numFmtId="0" fontId="0" fillId="0" borderId="0" applyAlignment="1" pivotButton="0" quotePrefix="0" xfId="0">
      <alignment horizontal="left"/>
    </xf>
    <xf numFmtId="0" fontId="13" fillId="0" borderId="0" pivotButton="0" quotePrefix="0" xfId="0"/>
    <xf numFmtId="0" fontId="9" fillId="0" borderId="0" pivotButton="0" quotePrefix="0" xfId="0"/>
    <xf numFmtId="0" fontId="5" fillId="0" borderId="0" applyAlignment="1" pivotButton="0" quotePrefix="0" xfId="0">
      <alignment horizontal="left" vertical="center"/>
    </xf>
    <xf numFmtId="0" fontId="4" fillId="2" borderId="0" pivotButton="0" quotePrefix="0" xfId="0"/>
    <xf numFmtId="1" fontId="4" fillId="2" borderId="0" applyAlignment="1" pivotButton="0" quotePrefix="0" xfId="0">
      <alignment horizontal="center" vertical="center"/>
    </xf>
    <xf numFmtId="164" fontId="4" fillId="2" borderId="0" applyAlignment="1" pivotButton="0" quotePrefix="0" xfId="0">
      <alignment horizontal="center"/>
    </xf>
    <xf numFmtId="164" fontId="4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9" fillId="2" borderId="6" pivotButton="0" quotePrefix="0" xfId="0"/>
    <xf numFmtId="0" fontId="0" fillId="2" borderId="2" pivotButton="0" quotePrefix="0" xfId="0"/>
    <xf numFmtId="0" fontId="9" fillId="2" borderId="2" applyAlignment="1" pivotButton="0" quotePrefix="0" xfId="0">
      <alignment horizontal="center"/>
    </xf>
    <xf numFmtId="165" fontId="4" fillId="0" borderId="4" applyAlignment="1" pivotButton="0" quotePrefix="0" xfId="0">
      <alignment horizontal="center"/>
    </xf>
    <xf numFmtId="9" fontId="4" fillId="0" borderId="4" applyAlignment="1" pivotButton="0" quotePrefix="0" xfId="2">
      <alignment horizontal="center"/>
    </xf>
    <xf numFmtId="9" fontId="4" fillId="0" borderId="0" applyAlignment="1" pivotButton="0" quotePrefix="0" xfId="2">
      <alignment horizontal="center"/>
    </xf>
    <xf numFmtId="165" fontId="4" fillId="0" borderId="0" applyAlignment="1" pivotButton="0" quotePrefix="0" xfId="0">
      <alignment horizontal="center"/>
    </xf>
    <xf numFmtId="0" fontId="17" fillId="0" borderId="4" pivotButton="0" quotePrefix="0" xfId="0"/>
    <xf numFmtId="0" fontId="9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wrapText="1"/>
    </xf>
    <xf numFmtId="0" fontId="9" fillId="2" borderId="2" applyAlignment="1" pivotButton="0" quotePrefix="0" xfId="0">
      <alignment horizontal="center"/>
    </xf>
    <xf numFmtId="0" fontId="9" fillId="2" borderId="7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15" fillId="2" borderId="1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4" fillId="0" borderId="3" applyAlignment="1" pivotButton="0" quotePrefix="0" xfId="0">
      <alignment horizontal="left"/>
    </xf>
    <xf numFmtId="0" fontId="12" fillId="0" borderId="5" applyAlignment="1" pivotButton="0" quotePrefix="0" xfId="0">
      <alignment horizontal="center" vertical="center"/>
    </xf>
    <xf numFmtId="0" fontId="14" fillId="0" borderId="4" applyAlignment="1" pivotButton="0" quotePrefix="0" xfId="0">
      <alignment horizontal="left"/>
    </xf>
    <xf numFmtId="164" fontId="0" fillId="0" borderId="0" applyAlignment="1" pivotButton="0" quotePrefix="0" xfId="0">
      <alignment horizontal="left"/>
    </xf>
    <xf numFmtId="2" fontId="4" fillId="0" borderId="0" applyAlignment="1" pivotButton="0" quotePrefix="0" xfId="0">
      <alignment horizontal="left"/>
    </xf>
    <xf numFmtId="164" fontId="4" fillId="0" borderId="4" applyAlignment="1" pivotButton="0" quotePrefix="0" xfId="0">
      <alignment horizontal="left"/>
    </xf>
    <xf numFmtId="0" fontId="0" fillId="0" borderId="8" pivotButton="0" quotePrefix="0" xfId="0"/>
    <xf numFmtId="0" fontId="12" fillId="0" borderId="0" pivotButton="0" quotePrefix="0" xfId="0"/>
    <xf numFmtId="0" fontId="18" fillId="0" borderId="0" pivotButton="0" quotePrefix="0" xfId="0"/>
    <xf numFmtId="0" fontId="18" fillId="0" borderId="0" applyAlignment="1" pivotButton="0" quotePrefix="0" xfId="0">
      <alignment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 indent="3"/>
    </xf>
    <xf numFmtId="0" fontId="19" fillId="0" borderId="0" applyAlignment="1" pivotButton="0" quotePrefix="0" xfId="1">
      <alignment vertical="center"/>
    </xf>
    <xf numFmtId="0" fontId="12" fillId="0" borderId="0" applyAlignment="1" pivotButton="0" quotePrefix="0" xfId="0">
      <alignment horizontal="right"/>
    </xf>
    <xf numFmtId="0" fontId="18" fillId="0" borderId="0" applyAlignment="1" pivotButton="0" quotePrefix="0" xfId="0">
      <alignment horizontal="right" vertical="center"/>
    </xf>
    <xf numFmtId="0" fontId="0" fillId="0" borderId="4" pivotButton="0" quotePrefix="0" xfId="0"/>
    <xf numFmtId="0" fontId="9" fillId="0" borderId="4" applyAlignment="1" pivotButton="0" quotePrefix="0" xfId="0">
      <alignment horizontal="right"/>
    </xf>
    <xf numFmtId="165" fontId="9" fillId="0" borderId="4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right"/>
    </xf>
    <xf numFmtId="165" fontId="9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0" fontId="16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left" vertical="center"/>
    </xf>
    <xf numFmtId="164" fontId="4" fillId="0" borderId="0" applyAlignment="1" pivotButton="0" quotePrefix="0" xfId="0">
      <alignment horizontal="left"/>
    </xf>
    <xf numFmtId="0" fontId="1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/>
    </xf>
    <xf numFmtId="164" fontId="4" fillId="0" borderId="4" applyAlignment="1" pivotButton="0" quotePrefix="0" xfId="0">
      <alignment horizontal="left"/>
    </xf>
    <xf numFmtId="164" fontId="0" fillId="0" borderId="0" applyAlignment="1" pivotButton="0" quotePrefix="0" xfId="0">
      <alignment horizontal="left"/>
    </xf>
    <xf numFmtId="164" fontId="4" fillId="0" borderId="0" applyAlignment="1" pivotButton="0" quotePrefix="0" xfId="0">
      <alignment horizontal="left"/>
    </xf>
    <xf numFmtId="0" fontId="0" fillId="0" borderId="2" pivotButton="0" quotePrefix="0" xfId="0"/>
    <xf numFmtId="0" fontId="0" fillId="0" borderId="7" pivotButton="0" quotePrefix="0" xfId="0"/>
    <xf numFmtId="0" fontId="0" fillId="0" borderId="1" pivotButton="0" quotePrefix="0" xfId="0"/>
    <xf numFmtId="164" fontId="4" fillId="2" borderId="0" applyAlignment="1" pivotButton="0" quotePrefix="0" xfId="0">
      <alignment horizontal="center"/>
    </xf>
    <xf numFmtId="164" fontId="4" fillId="2" borderId="0" applyAlignment="1" pivotButton="0" quotePrefix="0" xfId="0">
      <alignment horizontal="center" vertical="center"/>
    </xf>
    <xf numFmtId="0" fontId="0" fillId="0" borderId="5" pivotButton="0" quotePrefix="0" xfId="0"/>
    <xf numFmtId="165" fontId="4" fillId="0" borderId="4" applyAlignment="1" pivotButton="0" quotePrefix="0" xfId="0">
      <alignment horizontal="center"/>
    </xf>
    <xf numFmtId="165" fontId="4" fillId="0" borderId="0" applyAlignment="1" pivotButton="0" quotePrefix="0" xfId="0">
      <alignment horizontal="center"/>
    </xf>
    <xf numFmtId="165" fontId="9" fillId="0" borderId="4" applyAlignment="1" pivotButton="0" quotePrefix="0" xfId="0">
      <alignment horizontal="center"/>
    </xf>
    <xf numFmtId="165" fontId="9" fillId="0" borderId="0" applyAlignment="1" pivotButton="0" quotePrefix="0" xfId="0">
      <alignment horizontal="center"/>
    </xf>
  </cellXfs>
  <cellStyles count="3">
    <cellStyle name="Normal" xfId="0" builtinId="0"/>
    <cellStyle name="Hyperlink" xfId="1" builtinId="8"/>
    <cellStyle name="Percent" xfId="2" builtinId="5"/>
  </cellStyles>
  <dxfs count="8"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://www.tactgenomics.com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tabSelected="1" view="pageLayout" topLeftCell="A20" zoomScale="130" zoomScaleNormal="92" zoomScalePageLayoutView="130" workbookViewId="0">
      <selection activeCell="D43" sqref="D43"/>
    </sheetView>
  </sheetViews>
  <sheetFormatPr baseColWidth="8" defaultRowHeight="14.6"/>
  <cols>
    <col width="7.3046875" customWidth="1" min="1" max="1"/>
    <col width="7.3828125" customWidth="1" min="2" max="2"/>
    <col width="9.3046875" customWidth="1" min="3" max="3"/>
    <col width="12.69140625" customWidth="1" min="5" max="5"/>
    <col width="10.84375" customWidth="1" min="6" max="6"/>
    <col width="11.53515625" customWidth="1" min="7" max="7"/>
    <col width="7.3828125" customWidth="1" min="8" max="8"/>
    <col width="12" customWidth="1" min="9" max="9"/>
  </cols>
  <sheetData>
    <row r="1" ht="14.5" customHeight="1">
      <c r="C1" s="6" t="n"/>
      <c r="D1" s="6" t="n"/>
      <c r="E1" s="6" t="n"/>
      <c r="F1" s="6" t="n"/>
      <c r="G1" s="72" t="inlineStr">
        <is>
          <t>Invoice</t>
        </is>
      </c>
    </row>
    <row r="2" ht="26.6" customHeight="1" thickBot="1">
      <c r="A2" s="4" t="n"/>
      <c r="B2" s="4" t="n"/>
      <c r="C2" s="7" t="n"/>
      <c r="D2" s="7" t="n"/>
      <c r="E2" s="7" t="n"/>
      <c r="F2" s="7" t="n"/>
      <c r="G2" s="4" t="n"/>
      <c r="H2" s="4" t="n"/>
      <c r="I2" s="4" t="n"/>
    </row>
    <row r="3" ht="14.5" customHeight="1">
      <c r="A3" s="10" t="inlineStr">
        <is>
          <t>BioTrack Systems Inc.</t>
        </is>
      </c>
      <c r="B3" s="40" t="n"/>
      <c r="D3" s="6" t="n"/>
      <c r="E3" s="6" t="n"/>
      <c r="G3" s="67" t="inlineStr">
        <is>
          <t>Invoice No</t>
        </is>
      </c>
      <c r="H3" s="73" t="n"/>
      <c r="I3" s="56" t="n"/>
    </row>
    <row r="4">
      <c r="A4" s="11" t="inlineStr">
        <is>
          <t>orders@example.com</t>
        </is>
      </c>
      <c r="E4" s="9" t="n"/>
      <c r="G4" s="67" t="inlineStr">
        <is>
          <t>Order No</t>
        </is>
      </c>
      <c r="H4" s="45" t="n"/>
    </row>
    <row r="5">
      <c r="A5" s="11" t="inlineStr">
        <is>
          <t>(555) 019-2834</t>
        </is>
      </c>
      <c r="E5" s="9" t="n"/>
      <c r="G5" s="67" t="inlineStr">
        <is>
          <t>Quote No</t>
        </is>
      </c>
      <c r="H5" s="45" t="n"/>
    </row>
    <row r="6">
      <c r="A6" s="11" t="inlineStr">
        <is>
          <t>100 Innovation Way, Suite 400</t>
        </is>
      </c>
      <c r="G6" s="67" t="inlineStr">
        <is>
          <t>Invoice Date</t>
        </is>
      </c>
      <c r="H6" s="74" t="n"/>
    </row>
    <row r="7">
      <c r="A7" s="11" t="inlineStr">
        <is>
          <t>Metro City, ON M5V 2T6</t>
        </is>
      </c>
      <c r="G7" s="67" t="inlineStr">
        <is>
          <t>Invoice Due</t>
        </is>
      </c>
      <c r="H7" s="75">
        <f>H6+30</f>
        <v/>
      </c>
    </row>
    <row r="8">
      <c r="A8" s="11" t="inlineStr">
        <is>
          <t>CANADA</t>
        </is>
      </c>
      <c r="H8" s="17" t="n"/>
    </row>
    <row r="9">
      <c r="A9" s="11" t="inlineStr">
        <is>
          <t>HST #: 123456789RT0001</t>
        </is>
      </c>
      <c r="C9" s="18" t="n"/>
      <c r="G9" s="67" t="inlineStr">
        <is>
          <t>Cust PO #</t>
        </is>
      </c>
      <c r="H9" s="40" t="n"/>
    </row>
    <row r="10">
      <c r="G10" s="3" t="n"/>
    </row>
    <row r="11">
      <c r="A11" s="19" t="inlineStr">
        <is>
          <t>BILL TO</t>
        </is>
      </c>
      <c r="G11" s="34" t="inlineStr">
        <is>
          <t>SHIP TO</t>
        </is>
      </c>
    </row>
    <row r="12">
      <c r="A12" s="3" t="inlineStr">
        <is>
          <t>Acme Research Labs</t>
        </is>
      </c>
      <c r="G12" s="11" t="inlineStr">
        <is>
          <t>Acme Research Labs</t>
        </is>
      </c>
    </row>
    <row r="13">
      <c r="A13" s="3" t="inlineStr">
        <is>
          <t>Biochemistry Core</t>
        </is>
      </c>
      <c r="G13" s="11" t="inlineStr">
        <is>
          <t>Acme Corporation</t>
        </is>
      </c>
    </row>
    <row r="14">
      <c r="A14" s="3" t="inlineStr">
        <is>
          <t>Suite 300</t>
        </is>
      </c>
      <c r="G14" s="11" t="inlineStr">
        <is>
          <t>Receiving Dock B</t>
        </is>
      </c>
    </row>
    <row r="15">
      <c r="A15" s="3" t="inlineStr">
        <is>
          <t>123 Science Park Drive</t>
        </is>
      </c>
      <c r="B15" s="1" t="n"/>
      <c r="G15" s="11" t="inlineStr">
        <is>
          <t>Central Receiving</t>
        </is>
      </c>
    </row>
    <row r="16">
      <c r="A16" s="3" t="inlineStr">
        <is>
          <t>Metro City, ON M5V 1A1</t>
        </is>
      </c>
      <c r="B16" s="1" t="n"/>
      <c r="C16" s="1" t="n"/>
      <c r="D16" s="1" t="n"/>
      <c r="E16" s="1" t="n"/>
      <c r="F16" s="1" t="n"/>
      <c r="G16" s="11" t="inlineStr">
        <is>
          <t>Building 4</t>
        </is>
      </c>
      <c r="H16" s="1" t="n"/>
      <c r="I16" s="1" t="n"/>
    </row>
    <row r="17">
      <c r="A17" s="3" t="inlineStr">
        <is>
          <t>E: billing@acmebiotech.example</t>
        </is>
      </c>
      <c r="B17" s="1" t="n"/>
      <c r="C17" s="1" t="n"/>
      <c r="D17" s="1" t="n"/>
      <c r="E17" s="1" t="n"/>
      <c r="F17" s="1" t="n"/>
      <c r="G17" s="11" t="inlineStr">
        <is>
          <t>123 Science Park Drive</t>
        </is>
      </c>
      <c r="H17" s="1" t="n"/>
      <c r="I17" s="1" t="n"/>
    </row>
    <row r="18">
      <c r="B18" s="1" t="n"/>
      <c r="C18" s="1" t="n"/>
      <c r="D18" s="1" t="n"/>
      <c r="E18" s="1" t="n"/>
      <c r="F18" s="1" t="n"/>
      <c r="G18" s="11" t="inlineStr">
        <is>
          <t>Metro City, ON M5V 1A1</t>
        </is>
      </c>
      <c r="H18" s="1" t="n"/>
      <c r="I18" s="1" t="n"/>
    </row>
    <row r="19">
      <c r="B19" s="1" t="n"/>
      <c r="C19" s="40" t="n"/>
      <c r="D19" s="40" t="n"/>
      <c r="E19" s="40" t="n"/>
      <c r="F19" s="1" t="n"/>
      <c r="G19" s="11" t="n"/>
      <c r="H19" s="1" t="n"/>
      <c r="I19" s="1" t="n"/>
    </row>
    <row r="20">
      <c r="A20" s="26" t="inlineStr">
        <is>
          <t>Buyer</t>
        </is>
      </c>
      <c r="B20" s="27" t="n"/>
      <c r="C20" s="36" t="inlineStr">
        <is>
          <t>PO#</t>
        </is>
      </c>
      <c r="D20" s="76" t="n"/>
      <c r="E20" s="36" t="inlineStr">
        <is>
          <t>PO Type</t>
        </is>
      </c>
      <c r="F20" s="36" t="inlineStr">
        <is>
          <t>Order Date</t>
        </is>
      </c>
      <c r="G20" s="36" t="inlineStr">
        <is>
          <t>Ship Date</t>
        </is>
      </c>
      <c r="H20" s="37" t="inlineStr">
        <is>
          <t>Payment Method</t>
        </is>
      </c>
      <c r="I20" s="77" t="n"/>
    </row>
    <row r="21">
      <c r="A21" s="21">
        <f>G12</f>
        <v/>
      </c>
      <c r="B21" s="21" t="n"/>
      <c r="C21" s="39">
        <f>H9</f>
        <v/>
      </c>
      <c r="D21" s="78" t="n"/>
      <c r="E21" s="22" t="inlineStr">
        <is>
          <t>Standard</t>
        </is>
      </c>
      <c r="F21" s="79" t="n">
        <v>46195</v>
      </c>
      <c r="G21" s="80" t="n">
        <v>46205</v>
      </c>
      <c r="H21" s="38" t="inlineStr">
        <is>
          <t>PO</t>
        </is>
      </c>
    </row>
    <row r="22">
      <c r="A22" s="21" t="n"/>
      <c r="B22" s="21" t="n"/>
      <c r="C22" s="21" t="n"/>
      <c r="D22" s="21" t="n"/>
      <c r="E22" s="21" t="n"/>
      <c r="F22" s="21" t="n"/>
      <c r="G22" s="25" t="n"/>
      <c r="H22" s="21" t="n"/>
      <c r="I22" s="21" t="n"/>
    </row>
    <row r="23">
      <c r="A23" s="21" t="n"/>
      <c r="B23" s="21" t="n"/>
      <c r="C23" s="21" t="n"/>
      <c r="D23" s="21" t="n"/>
      <c r="E23" s="21" t="n"/>
      <c r="F23" s="21" t="n"/>
      <c r="G23" s="25" t="n"/>
      <c r="H23" s="21" t="n"/>
      <c r="I23" s="21" t="n"/>
    </row>
    <row r="24" ht="15" customHeight="1" thickBot="1">
      <c r="C24" s="41" t="n"/>
      <c r="D24" s="4" t="n"/>
      <c r="E24" s="4" t="n"/>
      <c r="F24" s="1" t="n"/>
      <c r="G24" s="1" t="n"/>
      <c r="H24" s="1" t="n"/>
      <c r="I24" s="1" t="n"/>
    </row>
    <row r="25" ht="15" customHeight="1" thickBot="1">
      <c r="A25" s="12" t="inlineStr">
        <is>
          <t>Line No.</t>
        </is>
      </c>
      <c r="B25" s="12" t="inlineStr">
        <is>
          <t>SKU</t>
        </is>
      </c>
      <c r="C25" s="42" t="inlineStr">
        <is>
          <t>Item</t>
        </is>
      </c>
      <c r="D25" s="81" t="n"/>
      <c r="E25" s="81" t="n"/>
      <c r="F25" s="12" t="inlineStr">
        <is>
          <t>Qty</t>
        </is>
      </c>
      <c r="G25" s="13" t="inlineStr">
        <is>
          <t>Unit Price (CAD)</t>
        </is>
      </c>
      <c r="H25" s="12" t="inlineStr">
        <is>
          <t>Discount</t>
        </is>
      </c>
      <c r="I25" s="13" t="inlineStr">
        <is>
          <t>Net Price (CAD)</t>
        </is>
      </c>
    </row>
    <row r="26">
      <c r="A26" s="14">
        <f>IF(B26&lt;&gt;"", ROW()-25, "")</f>
        <v/>
      </c>
      <c r="B26" s="14" t="n"/>
      <c r="C26" s="43" t="n"/>
      <c r="D26" s="56" t="n"/>
      <c r="E26" s="56" t="n"/>
      <c r="F26" s="14" t="n"/>
      <c r="G26" s="82" t="n"/>
      <c r="H26" s="30" t="n"/>
      <c r="I26" s="82">
        <f>IF(G26&lt;&gt;"",IF(H26&lt;&gt;"",F26*G26*(100%-H26),F26*G26),"")</f>
        <v/>
      </c>
    </row>
    <row r="27">
      <c r="A27" s="15">
        <f>IF(B27&lt;&gt;"", ROW()-25, "")</f>
        <v/>
      </c>
      <c r="B27" s="15" t="n"/>
      <c r="C27" s="40" t="n"/>
      <c r="F27" s="15" t="n"/>
      <c r="G27" s="83" t="n"/>
      <c r="H27" s="31" t="n"/>
      <c r="I27" s="1" t="n"/>
    </row>
    <row r="28">
      <c r="A28" s="15">
        <f>IF(B28&lt;&gt;"", ROW()-25, "")</f>
        <v/>
      </c>
      <c r="B28" s="15" t="n"/>
      <c r="C28" s="40" t="n"/>
      <c r="F28" s="15" t="n"/>
      <c r="G28" s="83" t="n"/>
      <c r="H28" s="31" t="n"/>
      <c r="I28" s="1" t="n"/>
    </row>
    <row r="29">
      <c r="A29" s="15">
        <f>IF(B29&lt;&gt;"", ROW()-25, "")</f>
        <v/>
      </c>
      <c r="B29" s="15" t="n"/>
      <c r="C29" s="40" t="n"/>
      <c r="F29" s="15" t="n"/>
      <c r="G29" s="83" t="n"/>
      <c r="H29" s="31" t="n"/>
      <c r="I29" s="1" t="n"/>
    </row>
    <row r="30">
      <c r="A30" s="15">
        <f>IF(B30&lt;&gt;"", ROW()-25, "")</f>
        <v/>
      </c>
      <c r="B30" s="15" t="n"/>
      <c r="C30" s="40" t="n"/>
      <c r="F30" s="15" t="n"/>
      <c r="G30" s="83" t="n"/>
      <c r="H30" s="31" t="n"/>
      <c r="I30" s="1" t="n"/>
    </row>
    <row r="31" ht="15" customHeight="1" thickBot="1">
      <c r="A31" s="15">
        <f>IF(B31&lt;&gt;"", ROW()-25, "")</f>
        <v/>
      </c>
      <c r="B31" s="15" t="n"/>
      <c r="C31" s="1" t="n"/>
      <c r="D31" s="1" t="n"/>
      <c r="E31" s="1" t="n"/>
      <c r="F31" s="15" t="n"/>
      <c r="G31" s="83" t="n"/>
      <c r="H31" s="31" t="n"/>
      <c r="I31" s="1" t="n"/>
    </row>
    <row r="32">
      <c r="A32" s="56" t="inlineStr">
        <is>
          <t>Freight Services:</t>
        </is>
      </c>
      <c r="B32" s="56" t="n"/>
      <c r="C32" s="33" t="inlineStr">
        <is>
          <t>Best Method</t>
        </is>
      </c>
      <c r="D32" s="56" t="n"/>
      <c r="E32" s="56" t="n"/>
      <c r="F32" s="56" t="n"/>
      <c r="G32" s="56" t="n"/>
      <c r="H32" s="57" t="inlineStr">
        <is>
          <t>Subtotal</t>
        </is>
      </c>
      <c r="I32" s="84">
        <f>IF(I26&lt;&gt;"",SUM(I26:I31),"")</f>
        <v/>
      </c>
    </row>
    <row r="33">
      <c r="A33" t="inlineStr">
        <is>
          <t>Package Tracking:</t>
        </is>
      </c>
      <c r="B33" s="17" t="n"/>
      <c r="C33" s="17" t="n"/>
      <c r="D33" s="17" t="n"/>
      <c r="E33" s="17" t="n"/>
      <c r="G33" s="59" t="n"/>
      <c r="H33" s="60" t="inlineStr">
        <is>
          <t>Handling &amp; Shipping</t>
        </is>
      </c>
      <c r="I33" s="83" t="n"/>
    </row>
    <row r="34">
      <c r="G34" s="59" t="n"/>
      <c r="H34" s="60" t="inlineStr">
        <is>
          <t>Dry/Wet Ice Charge</t>
        </is>
      </c>
      <c r="I34" s="83" t="n"/>
    </row>
    <row r="35">
      <c r="A35" s="5" t="inlineStr">
        <is>
          <t>Orders over 399 CAD receive free shipping!</t>
        </is>
      </c>
      <c r="G35" s="59" t="n"/>
      <c r="H35" s="60" t="inlineStr">
        <is>
          <t>HST (13%)</t>
        </is>
      </c>
      <c r="I35" s="83">
        <f>IF(I32&lt;&gt;"",(I32+I33+I34)*0.13,"")</f>
        <v/>
      </c>
    </row>
    <row r="36">
      <c r="A36" s="5" t="inlineStr">
        <is>
          <t>Thank you for choosing our products and services!</t>
        </is>
      </c>
      <c r="G36" s="62" t="n"/>
      <c r="H36" s="63" t="inlineStr">
        <is>
          <t>Total Invoice (C$)</t>
        </is>
      </c>
      <c r="I36" s="85">
        <f>IF(I32&lt;&gt;"",SUM(I32:I35),"")</f>
        <v/>
      </c>
    </row>
    <row r="37">
      <c r="G37" s="59" t="n"/>
      <c r="H37" s="60" t="inlineStr">
        <is>
          <t>Amount Paid (C$)</t>
        </is>
      </c>
      <c r="I37" s="83" t="n"/>
    </row>
    <row r="38">
      <c r="A38" s="35" t="inlineStr">
        <is>
          <t>All products and distribution comply with standard laboratory quality guidelines.</t>
        </is>
      </c>
      <c r="G38" s="65" t="n"/>
      <c r="H38" s="66" t="inlineStr">
        <is>
          <t>Balance Due (C$)</t>
        </is>
      </c>
      <c r="I38" s="85">
        <f>I36-I37</f>
        <v/>
      </c>
    </row>
    <row r="39"/>
    <row r="40">
      <c r="A40" s="47" t="n"/>
      <c r="B40" s="47" t="n"/>
      <c r="C40" s="47" t="n"/>
      <c r="D40" s="47" t="n"/>
      <c r="E40" s="47" t="n"/>
      <c r="F40" s="47" t="n"/>
      <c r="G40" s="47" t="n"/>
      <c r="H40" s="47" t="n"/>
      <c r="I40" s="47" t="n"/>
    </row>
    <row r="41">
      <c r="A41" s="48" t="inlineStr">
        <is>
          <t>REMIT TO</t>
        </is>
      </c>
      <c r="B41" s="48" t="n"/>
      <c r="C41" s="49" t="n"/>
      <c r="D41" s="49" t="inlineStr">
        <is>
          <t>Commercial Bank of Canada</t>
        </is>
      </c>
      <c r="E41" s="48" t="n"/>
      <c r="F41" s="1" t="n"/>
      <c r="G41" s="1" t="n"/>
      <c r="H41" s="49" t="n"/>
      <c r="I41" s="54" t="inlineStr">
        <is>
          <t>CONTACT</t>
        </is>
      </c>
    </row>
    <row r="42">
      <c r="A42" s="50" t="inlineStr">
        <is>
          <t>BIOTRACK SYSTEMS INC.</t>
        </is>
      </c>
      <c r="B42" s="50" t="n"/>
      <c r="C42" s="49" t="n"/>
      <c r="D42" s="51" t="inlineStr">
        <is>
          <t>100 Financial Way</t>
        </is>
      </c>
      <c r="E42" s="52" t="n"/>
      <c r="F42" s="2" t="n"/>
      <c r="G42" s="1" t="n"/>
      <c r="H42" s="50" t="n"/>
      <c r="I42" s="55" t="inlineStr">
        <is>
          <t>BioTrack Systems Inc.</t>
        </is>
      </c>
    </row>
    <row r="43">
      <c r="A43" s="53" t="inlineStr">
        <is>
          <t>www.example.com</t>
        </is>
      </c>
      <c r="B43" s="53" t="n"/>
      <c r="C43" s="49" t="n"/>
      <c r="D43" s="51" t="inlineStr">
        <is>
          <t>Metro City, ON M5V 2T6, Canada</t>
        </is>
      </c>
      <c r="E43" s="52" t="n"/>
      <c r="F43" s="2" t="n"/>
      <c r="G43" s="1" t="n"/>
      <c r="H43" s="50" t="n"/>
      <c r="I43" s="55" t="inlineStr">
        <is>
          <t>info@example.com</t>
        </is>
      </c>
    </row>
    <row r="44">
      <c r="A44" s="50" t="inlineStr">
        <is>
          <t>100 Innovation Way, Suite 400</t>
        </is>
      </c>
      <c r="B44" s="50" t="n"/>
      <c r="C44" s="49" t="n"/>
      <c r="D44" s="50" t="inlineStr">
        <is>
          <t>Account Number: 0000-0000000</t>
        </is>
      </c>
      <c r="E44" s="50" t="n"/>
      <c r="F44" s="2" t="n"/>
      <c r="G44" s="1" t="n"/>
      <c r="H44" s="2" t="n"/>
      <c r="I44" s="2" t="n"/>
    </row>
    <row r="45">
      <c r="A45" s="50" t="inlineStr">
        <is>
          <t>Metro City, ON M5V 2T6</t>
        </is>
      </c>
      <c r="B45" s="50" t="n"/>
      <c r="C45" s="49" t="n"/>
      <c r="D45" s="50" t="inlineStr">
        <is>
          <t>Swift code: XXXXXXXX</t>
        </is>
      </c>
      <c r="E45" s="50" t="n"/>
      <c r="F45" s="2" t="n"/>
      <c r="G45" s="1" t="n"/>
      <c r="H45" s="2" t="n"/>
      <c r="I45" s="2" t="n"/>
    </row>
    <row r="46">
      <c r="A46" s="49" t="inlineStr">
        <is>
          <t>CANADA</t>
        </is>
      </c>
      <c r="B46" s="49" t="n"/>
      <c r="C46" s="49" t="n"/>
      <c r="D46" s="50" t="inlineStr">
        <is>
          <t>CC Number: 000000000</t>
        </is>
      </c>
      <c r="E46" s="50" t="n"/>
      <c r="F46" s="1" t="n"/>
      <c r="G46" s="1" t="n"/>
      <c r="H46" s="1" t="n"/>
      <c r="I46" s="1" t="n"/>
    </row>
  </sheetData>
  <mergeCells count="18">
    <mergeCell ref="G1:I2"/>
    <mergeCell ref="C20:D20"/>
    <mergeCell ref="H3:I3"/>
    <mergeCell ref="C28:E28"/>
    <mergeCell ref="H21:I21"/>
    <mergeCell ref="H6:I6"/>
    <mergeCell ref="H20:I20"/>
    <mergeCell ref="C21:D21"/>
    <mergeCell ref="C27:E27"/>
    <mergeCell ref="H7:I7"/>
    <mergeCell ref="C26:E26"/>
    <mergeCell ref="H5:I5"/>
    <mergeCell ref="A38:F39"/>
    <mergeCell ref="H4:I4"/>
    <mergeCell ref="C29:E29"/>
    <mergeCell ref="C30:E30"/>
    <mergeCell ref="C25:E25"/>
    <mergeCell ref="C24:E24"/>
  </mergeCells>
  <conditionalFormatting sqref="A14:A17">
    <cfRule type="expression" priority="6" dxfId="0">
      <formula>AND($B15&lt;&gt;"", ISEVEN(ROW()))</formula>
    </cfRule>
  </conditionalFormatting>
  <conditionalFormatting sqref="A26:I31">
    <cfRule type="expression" priority="1" dxfId="0">
      <formula>AND($B26&lt;&gt;"", ISODD(ROW()))</formula>
    </cfRule>
  </conditionalFormatting>
  <conditionalFormatting sqref="B15:B23">
    <cfRule type="expression" priority="3" dxfId="0">
      <formula>AND($B15&lt;&gt;"", ISEVEN(ROW()))</formula>
    </cfRule>
  </conditionalFormatting>
  <conditionalFormatting sqref="C21 E21:H21">
    <cfRule type="expression" priority="14" dxfId="0">
      <formula>AND($B19&lt;&gt;"", ISEVEN(ROW()))</formula>
    </cfRule>
  </conditionalFormatting>
  <conditionalFormatting sqref="C16:I19 C20 E20:H20">
    <cfRule type="expression" priority="4" dxfId="0">
      <formula>AND($B15&lt;&gt;"", ISEVEN(ROW()))</formula>
    </cfRule>
  </conditionalFormatting>
  <conditionalFormatting sqref="C22:I22">
    <cfRule type="expression" priority="12" dxfId="0">
      <formula>AND($B18&lt;&gt;"", ISEVEN(ROW()))</formula>
    </cfRule>
  </conditionalFormatting>
  <conditionalFormatting sqref="C23:I23">
    <cfRule type="expression" priority="10" dxfId="0">
      <formula>AND($B18&lt;&gt;"", ISEVEN(ROW()))</formula>
    </cfRule>
  </conditionalFormatting>
  <conditionalFormatting sqref="C24:I24">
    <cfRule type="expression" priority="8" dxfId="0">
      <formula>AND($B18&lt;&gt;"", ISEVEN(ROW()))</formula>
    </cfRule>
  </conditionalFormatting>
  <hyperlinks>
    <hyperlink xmlns:r="http://schemas.openxmlformats.org/officeDocument/2006/relationships" ref="A43" r:id="rId1"/>
  </hyperlinks>
  <pageMargins left="0.7" right="0.7" top="0.75" bottom="0.75" header="0.3" footer="0.3"/>
  <pageSetup orientation="portrait"/>
  <headerFooter>
    <oddHeader/>
    <oddFooter>&amp;CPage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TACT G.</dc:creator>
  <dcterms:created xsi:type="dcterms:W3CDTF">2022-01-05T01:54:43Z</dcterms:created>
  <dcterms:modified xsi:type="dcterms:W3CDTF">2026-10-15T22:13:56Z</dcterms:modified>
  <cp:lastModifiedBy>Luke Fu</cp:lastModifiedBy>
  <cp:lastPrinted>2026-08-14T16:48:41Z</cp:lastPrinted>
</cp:coreProperties>
</file>