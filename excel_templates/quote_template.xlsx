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4892" windowHeight="15634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$-1009]d/mmm/yy;@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24"/>
      <scheme val="minor"/>
    </font>
    <font>
      <name val="Calibri (Body)"/>
      <b val="1"/>
      <color theme="1"/>
      <sz val="26"/>
    </font>
    <font>
      <name val="Calibri"/>
      <family val="2"/>
      <b val="1"/>
      <color theme="1"/>
      <sz val="9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B050"/>
      </bottom>
      <diagonal/>
    </border>
    <border>
      <left/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/>
      <top/>
      <bottom style="medium">
        <color rgb="FF00B050"/>
      </bottom>
      <diagonal/>
    </border>
  </borders>
  <cellStyleXfs count="3">
    <xf numFmtId="0" fontId="9" fillId="0" borderId="0"/>
    <xf numFmtId="44" fontId="9" fillId="0" borderId="0"/>
    <xf numFmtId="9" fontId="9" fillId="0" borderId="0"/>
  </cellStyleXfs>
  <cellXfs count="44">
    <xf numFmtId="0" fontId="0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indent="1"/>
    </xf>
    <xf numFmtId="0" fontId="2" fillId="0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8" fillId="0" borderId="0" pivotButton="0" quotePrefix="0" xfId="0"/>
    <xf numFmtId="0" fontId="2" fillId="0" borderId="2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9" fontId="2" fillId="0" borderId="2" applyAlignment="1" pivotButton="0" quotePrefix="0" xfId="2">
      <alignment horizontal="center"/>
    </xf>
    <xf numFmtId="9" fontId="2" fillId="0" borderId="0" applyAlignment="1" pivotButton="0" quotePrefix="0" xfId="2">
      <alignment horizontal="center"/>
    </xf>
    <xf numFmtId="164" fontId="2" fillId="0" borderId="2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2" fillId="0" borderId="2" applyAlignment="1" pivotButton="0" quotePrefix="0" xfId="1">
      <alignment horizontal="center"/>
    </xf>
    <xf numFmtId="164" fontId="2" fillId="0" borderId="0" applyAlignment="1" pivotButton="0" quotePrefix="0" xfId="1">
      <alignment horizontal="center"/>
    </xf>
    <xf numFmtId="0" fontId="4" fillId="2" borderId="0" pivotButton="0" quotePrefix="0" xfId="0"/>
    <xf numFmtId="0" fontId="4" fillId="0" borderId="3" pivotButton="0" quotePrefix="0" xfId="0"/>
    <xf numFmtId="0" fontId="0" fillId="0" borderId="0" pivotButton="0" quotePrefix="0" xfId="0"/>
    <xf numFmtId="0" fontId="7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0" borderId="0" applyAlignment="1" pivotButton="0" quotePrefix="0" xfId="0">
      <alignment horizontal="left"/>
    </xf>
    <xf numFmtId="2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165" fontId="2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5" fontId="2" fillId="2" borderId="0" applyAlignment="1" pivotButton="0" quotePrefix="0" xfId="0">
      <alignment horizontal="left"/>
    </xf>
    <xf numFmtId="0" fontId="6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/>
    </xf>
    <xf numFmtId="0" fontId="0" fillId="0" borderId="4" pivotButton="0" quotePrefix="0" xfId="0"/>
    <xf numFmtId="165" fontId="2" fillId="0" borderId="3" applyAlignment="1" pivotButton="0" quotePrefix="0" xfId="0">
      <alignment horizontal="left"/>
    </xf>
    <xf numFmtId="0" fontId="0" fillId="0" borderId="3" pivotButton="0" quotePrefix="0" xfId="0"/>
    <xf numFmtId="0" fontId="7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/>
    </xf>
  </cellXfs>
  <cellStyles count="3">
    <cellStyle name="Normal" xfId="0" builtinId="0"/>
    <cellStyle name="Currency" xfId="1" builtinId="4"/>
    <cellStyle name="Percent" xfId="2" builtinId="5"/>
  </cellStyles>
  <dxfs count="1">
    <dxf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tabSelected="1" showWhiteSpace="0" view="pageLayout" zoomScaleNormal="235" workbookViewId="0">
      <selection activeCell="F14" sqref="F14"/>
    </sheetView>
  </sheetViews>
  <sheetFormatPr baseColWidth="8" defaultColWidth="11.15234375" defaultRowHeight="14.6"/>
  <cols>
    <col width="7.3828125" customWidth="1" style="26" min="1" max="1"/>
    <col width="7.84375" customWidth="1" style="26" min="2" max="2"/>
    <col width="9.84375" customWidth="1" style="26" min="5" max="5"/>
    <col width="6.69140625" customWidth="1" style="26" min="6" max="6"/>
    <col width="13.3046875" customWidth="1" style="26" min="7" max="7"/>
    <col width="9.69140625" customWidth="1" style="26" min="8" max="8"/>
    <col width="13.3046875" customWidth="1" style="26" min="9" max="9"/>
  </cols>
  <sheetData>
    <row r="1" ht="15" customHeight="1" s="26">
      <c r="C1" s="7" t="n"/>
      <c r="D1" s="7" t="n"/>
      <c r="E1" s="7" t="n"/>
      <c r="F1" s="7" t="n"/>
      <c r="G1" s="35" t="inlineStr">
        <is>
          <t>Quote</t>
        </is>
      </c>
    </row>
    <row r="2" ht="26.6" customHeight="1" s="26" thickBot="1">
      <c r="A2" s="2" t="n"/>
      <c r="B2" s="2" t="n"/>
      <c r="C2" s="8" t="n"/>
      <c r="D2" s="8" t="n"/>
      <c r="E2" s="8" t="n"/>
      <c r="F2" s="8" t="n"/>
      <c r="G2" s="39" t="n"/>
      <c r="H2" s="39" t="n"/>
      <c r="I2" s="39" t="n"/>
    </row>
    <row r="3" ht="16" customHeight="1" s="26">
      <c r="A3" s="29" t="inlineStr">
        <is>
          <t>BioTrack Systems Inc.</t>
        </is>
      </c>
      <c r="B3" s="29" t="n"/>
      <c r="D3" s="7" t="n"/>
      <c r="E3" s="7" t="n"/>
      <c r="G3" s="25" t="inlineStr">
        <is>
          <t>Issue Date</t>
        </is>
      </c>
      <c r="H3" s="40" t="n"/>
      <c r="I3" s="41" t="n"/>
    </row>
    <row r="4">
      <c r="A4" s="29" t="inlineStr">
        <is>
          <t>orders@example.com</t>
        </is>
      </c>
      <c r="E4" s="9" t="n"/>
      <c r="G4" s="12" t="inlineStr">
        <is>
          <t>Quote No</t>
        </is>
      </c>
      <c r="H4" s="30" t="n"/>
    </row>
    <row r="5">
      <c r="A5" s="29" t="inlineStr">
        <is>
          <t>(555) 019-2834</t>
        </is>
      </c>
      <c r="E5" s="9" t="n"/>
      <c r="G5" s="24" t="inlineStr">
        <is>
          <t>Quote Valid</t>
        </is>
      </c>
      <c r="H5" s="34" t="n"/>
    </row>
    <row r="6">
      <c r="A6" s="29" t="n"/>
      <c r="B6" s="29" t="n"/>
    </row>
    <row r="7">
      <c r="A7" s="29" t="inlineStr">
        <is>
          <t>100 Innovation Way, Suite 400</t>
        </is>
      </c>
      <c r="G7" s="5" t="inlineStr">
        <is>
          <t>QUOTE TO</t>
        </is>
      </c>
    </row>
    <row r="8">
      <c r="A8" s="29" t="inlineStr">
        <is>
          <t>Metro City, ON M5V 2T6</t>
        </is>
      </c>
      <c r="G8" s="10" t="inlineStr">
        <is>
          <t>Name</t>
        </is>
      </c>
    </row>
    <row r="9">
      <c r="A9" s="29" t="inlineStr">
        <is>
          <t>CANADA</t>
        </is>
      </c>
      <c r="G9" s="11" t="inlineStr">
        <is>
          <t>Lab</t>
        </is>
      </c>
    </row>
    <row r="10">
      <c r="G10" s="11" t="inlineStr">
        <is>
          <t>Dep</t>
        </is>
      </c>
    </row>
    <row r="11">
      <c r="G11" s="11" t="inlineStr">
        <is>
          <t>Org</t>
        </is>
      </c>
    </row>
    <row r="12">
      <c r="G12" s="11" t="inlineStr">
        <is>
          <t>Address</t>
        </is>
      </c>
    </row>
    <row r="13">
      <c r="G13" s="11" t="inlineStr">
        <is>
          <t>City, Province, Postal</t>
        </is>
      </c>
    </row>
    <row r="14">
      <c r="G14" s="10" t="inlineStr">
        <is>
          <t>Country</t>
        </is>
      </c>
    </row>
    <row r="15" ht="15.75" customHeight="1" s="26" thickBot="1">
      <c r="M15" s="6" t="n"/>
    </row>
    <row r="16" ht="15.75" customHeight="1" s="26" thickBot="1">
      <c r="A16" s="27" t="inlineStr">
        <is>
          <t>Line No.</t>
        </is>
      </c>
      <c r="B16" s="27" t="inlineStr">
        <is>
          <t>SKU</t>
        </is>
      </c>
      <c r="C16" s="42" t="inlineStr">
        <is>
          <t>Item</t>
        </is>
      </c>
      <c r="D16" s="41" t="n"/>
      <c r="E16" s="41" t="n"/>
      <c r="F16" s="27" t="inlineStr">
        <is>
          <t>Qty</t>
        </is>
      </c>
      <c r="G16" s="14" t="inlineStr">
        <is>
          <t>Unit Price (CAD)</t>
        </is>
      </c>
      <c r="H16" s="27">
        <f>IF(COUNTA(H17:H29)=0, "", "Discount")</f>
        <v/>
      </c>
      <c r="I16" s="14" t="inlineStr">
        <is>
          <t>Net Price (CAD)</t>
        </is>
      </c>
      <c r="M16" s="6" t="n"/>
    </row>
    <row r="17">
      <c r="A17" s="16">
        <f>IF(B17&lt;&gt;"", ROW()-16, "")</f>
        <v/>
      </c>
      <c r="B17" s="16" t="n"/>
      <c r="C17" s="43" t="n"/>
      <c r="D17" s="41" t="n"/>
      <c r="E17" s="41" t="n"/>
      <c r="F17" s="16" t="n"/>
      <c r="G17" s="22" t="n"/>
      <c r="H17" s="18" t="n"/>
      <c r="I17" s="20">
        <f>IF(G17&lt;&gt;"",IF(H17&lt;&gt;"",F17*G17*(100%-H17),F17*G17),"")</f>
        <v/>
      </c>
      <c r="K17" s="1" t="n"/>
      <c r="L17" s="1" t="n"/>
    </row>
    <row r="18">
      <c r="A18" s="17">
        <f>IF(B18&lt;&gt;"", ROW()-16, "")</f>
        <v/>
      </c>
      <c r="B18" s="17" t="n"/>
      <c r="C18" s="29" t="n"/>
      <c r="F18" s="17" t="n"/>
      <c r="G18" s="23" t="n"/>
      <c r="H18" s="19" t="n"/>
      <c r="I18" s="21">
        <f>IF(G18&lt;&gt;"",IF(H18&lt;&gt;"",F18*G18*(100%-H18),F18*G18),"")</f>
        <v/>
      </c>
    </row>
    <row r="19">
      <c r="A19" s="17">
        <f>IF(B19&lt;&gt;"", ROW()-16, "")</f>
        <v/>
      </c>
      <c r="B19" s="17" t="n"/>
      <c r="C19" s="29" t="n"/>
      <c r="F19" s="17" t="n"/>
      <c r="G19" s="23" t="n"/>
      <c r="H19" s="19" t="n"/>
      <c r="I19" s="21">
        <f>IF(G19&lt;&gt;"",IF(H19&lt;&gt;"",F19*G19*(100%-H19),F19*G19),"")</f>
        <v/>
      </c>
    </row>
    <row r="20">
      <c r="A20" s="17">
        <f>IF(B20&lt;&gt;"", ROW()-16, "")</f>
        <v/>
      </c>
      <c r="B20" s="17" t="n"/>
      <c r="C20" s="29" t="n"/>
      <c r="F20" s="17" t="n"/>
      <c r="G20" s="23" t="n"/>
      <c r="H20" s="19" t="n"/>
      <c r="I20" s="21">
        <f>IF(G20&lt;&gt;"",IF(H20&lt;&gt;"",F20*G20*(100%-H20),F20*G20),"")</f>
        <v/>
      </c>
    </row>
    <row r="21">
      <c r="A21" s="17">
        <f>IF(B21&lt;&gt;"", ROW()-16, "")</f>
        <v/>
      </c>
      <c r="B21" s="17" t="n"/>
      <c r="C21" s="29" t="n"/>
      <c r="F21" s="17" t="n"/>
      <c r="G21" s="23" t="n"/>
      <c r="H21" s="19" t="n"/>
      <c r="I21" s="21">
        <f>IF(G21&lt;&gt;"",IF(H21&lt;&gt;"",F21*G21*(100%-H21),F21*G21),"")</f>
        <v/>
      </c>
    </row>
    <row r="22">
      <c r="A22" s="17">
        <f>IF(B22&lt;&gt;"", ROW()-16, "")</f>
        <v/>
      </c>
      <c r="B22" s="17" t="n"/>
      <c r="C22" s="29" t="n"/>
      <c r="F22" s="17" t="n"/>
      <c r="G22" s="23" t="n"/>
      <c r="H22" s="19" t="n"/>
      <c r="I22" s="21">
        <f>IF(G22&lt;&gt;"",IF(H22&lt;&gt;"",F22*G22*(100%-H22),F22*G22),"")</f>
        <v/>
      </c>
    </row>
    <row r="23">
      <c r="A23" s="17">
        <f>IF(B23&lt;&gt;"", ROW()-16, "")</f>
        <v/>
      </c>
      <c r="B23" s="17" t="n"/>
      <c r="C23" s="29" t="n"/>
      <c r="F23" s="17" t="n"/>
      <c r="G23" s="23" t="n"/>
      <c r="H23" s="19" t="n"/>
      <c r="I23" s="21">
        <f>IF(G23&lt;&gt;"",IF(H23&lt;&gt;"",F23*G23*(100%-H23),F23*G23),"")</f>
        <v/>
      </c>
    </row>
    <row r="24">
      <c r="A24" s="17">
        <f>IF(B24&lt;&gt;"", ROW()-16, "")</f>
        <v/>
      </c>
      <c r="B24" s="17" t="n"/>
      <c r="C24" s="29" t="n"/>
      <c r="F24" s="17" t="n"/>
      <c r="G24" s="23" t="n"/>
      <c r="H24" s="19" t="n"/>
      <c r="I24" s="21">
        <f>IF(G24&lt;&gt;"",IF(H24&lt;&gt;"",F24*G24*(100%-H24),F24*G24),"")</f>
        <v/>
      </c>
    </row>
    <row r="25">
      <c r="A25" s="17">
        <f>IF(B25&lt;&gt;"", ROW()-16, "")</f>
        <v/>
      </c>
      <c r="B25" s="17" t="n"/>
      <c r="C25" s="29" t="n"/>
      <c r="F25" s="17" t="n"/>
      <c r="G25" s="23" t="n"/>
      <c r="H25" s="19" t="n"/>
      <c r="I25" s="21">
        <f>IF(G25&lt;&gt;"",IF(H25&lt;&gt;"",F25*G25*(100%-H25),F25*G25),"")</f>
        <v/>
      </c>
    </row>
    <row r="26">
      <c r="A26" s="17">
        <f>IF(B26&lt;&gt;"", ROW()-16, "")</f>
        <v/>
      </c>
      <c r="B26" s="17" t="n"/>
      <c r="C26" s="29" t="n"/>
      <c r="F26" s="17" t="n"/>
      <c r="G26" s="23" t="n"/>
      <c r="H26" s="19" t="n"/>
      <c r="I26" s="21">
        <f>IF(G26&lt;&gt;"",IF(H26&lt;&gt;"",F26*G26*(100%-H26),F26*G26),"")</f>
        <v/>
      </c>
    </row>
    <row r="27">
      <c r="A27" s="17">
        <f>IF(B27&lt;&gt;"", ROW()-16, "")</f>
        <v/>
      </c>
      <c r="B27" s="17" t="n"/>
      <c r="C27" s="29" t="n"/>
      <c r="F27" s="17" t="n"/>
      <c r="G27" s="23" t="n"/>
      <c r="H27" s="19" t="n"/>
      <c r="I27" s="21">
        <f>IF(G27&lt;&gt;"",IF(H27&lt;&gt;"",F27*G27*(100%-H27),F27*G27),"")</f>
        <v/>
      </c>
    </row>
    <row r="28">
      <c r="A28" s="17">
        <f>IF(B28&lt;&gt;"", ROW()-16, "")</f>
        <v/>
      </c>
      <c r="B28" s="17" t="n"/>
      <c r="C28" s="29" t="n"/>
      <c r="F28" s="17" t="n"/>
      <c r="G28" s="23" t="n"/>
      <c r="H28" s="19" t="n"/>
      <c r="I28" s="21">
        <f>IF(G28&lt;&gt;"",IF(H28&lt;&gt;"",F28*G28*(100%-H28),F28*G28),"")</f>
        <v/>
      </c>
    </row>
    <row r="29" ht="15.75" customHeight="1" s="26" thickBot="1">
      <c r="A29" s="17">
        <f>IF(B29&lt;&gt;"", ROW()-16, "")</f>
        <v/>
      </c>
      <c r="B29" s="17" t="n"/>
      <c r="C29" s="1" t="n"/>
      <c r="D29" s="1" t="n"/>
      <c r="E29" s="1" t="n"/>
      <c r="F29" s="17" t="n"/>
      <c r="G29" s="23" t="n"/>
      <c r="H29" s="19" t="n"/>
      <c r="I29" s="21">
        <f>IF(G29&lt;&gt;"",IF(H29&lt;&gt;"",F29*G29*(100%-H29),F29*G29),"")</f>
        <v/>
      </c>
    </row>
    <row r="30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</row>
    <row r="31">
      <c r="A31" t="inlineStr">
        <is>
          <t>Order Notes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</row>
    <row r="32">
      <c r="A32" s="33" t="n"/>
    </row>
    <row r="33"/>
    <row r="35">
      <c r="A35" s="15" t="inlineStr">
        <is>
          <t>A CAD $24.99 shipping fee applies to all orders below CAD $399. A wet/dry ice fee of CAD $20 will be charged where applicable.</t>
        </is>
      </c>
    </row>
    <row r="36">
      <c r="A36" s="15" t="inlineStr">
        <is>
          <t>Thank you for choosing our products and services!</t>
        </is>
      </c>
    </row>
    <row r="38">
      <c r="A38" s="1" t="inlineStr">
        <is>
          <t>All products and distribution comply with standard laboratory quality guidelines.</t>
        </is>
      </c>
    </row>
    <row r="39" ht="15.75" customHeight="1" s="26" thickBot="1"/>
    <row r="40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</row>
    <row r="41" ht="15" customHeight="1" s="26">
      <c r="A41" s="37" t="inlineStr">
        <is>
          <t>Notice to Purchaser: Research Use Only. The purchase of this product conveys to the purchaser the limited, non-transferable right to use the product only to perform internal research. For information on commercial rights or general inquiries, please contact info@example.com.</t>
        </is>
      </c>
    </row>
    <row r="42" ht="15" customHeight="1" s="26"/>
    <row r="43"/>
    <row r="44"/>
    <row r="45"/>
  </sheetData>
  <mergeCells count="19">
    <mergeCell ref="G1:I2"/>
    <mergeCell ref="C16:E16"/>
    <mergeCell ref="C22:E22"/>
    <mergeCell ref="H4:I4"/>
    <mergeCell ref="C21:E21"/>
    <mergeCell ref="A41:I45"/>
    <mergeCell ref="C27:E27"/>
    <mergeCell ref="C23:E23"/>
    <mergeCell ref="C17:E17"/>
    <mergeCell ref="C28:E28"/>
    <mergeCell ref="C19:E19"/>
    <mergeCell ref="C18:E18"/>
    <mergeCell ref="C24:E24"/>
    <mergeCell ref="H3:I3"/>
    <mergeCell ref="A32:I33"/>
    <mergeCell ref="C26:E26"/>
    <mergeCell ref="H5:I5"/>
    <mergeCell ref="C20:E20"/>
    <mergeCell ref="C25:E25"/>
  </mergeCells>
  <conditionalFormatting sqref="A17:I29">
    <cfRule type="expression" priority="1" dxfId="0">
      <formula>AND($B17&lt;&gt;"", ISEVEN(ROW()))</formula>
    </cfRule>
  </conditionalFormatting>
  <pageMargins left="0.7" right="0.7" top="0.75" bottom="0.75" header="0.3" footer="0.3"/>
  <pageSetup orientation="portrait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2020-10-21T15:50:19Z</dcterms:created>
  <dcterms:modified xsi:type="dcterms:W3CDTF">2026-10-15T22:13:56Z</dcterms:modified>
  <cp:lastModifiedBy>Luke Fu</cp:lastModifiedBy>
  <cp:lastPrinted>2026-07-22T00:21:33Z</cp:lastPrinted>
</cp:coreProperties>
</file>